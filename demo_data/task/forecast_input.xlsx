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971520fa7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ab2b0fdf06495c"/>
    <x:sheet xmlns:r="http://schemas.openxmlformats.org/officeDocument/2006/relationships" name="Assumptions" sheetId="2" r:id="Rd131d2496a1a468b"/>
    <x:sheet xmlns:r="http://schemas.openxmlformats.org/officeDocument/2006/relationships" name="Forecast" sheetId="3" r:id="R896284c9f4b14969"/>
    <x:sheet xmlns:r="http://schemas.openxmlformats.org/officeDocument/2006/relationships" name="Checks" sheetId="4" r:id="Rdc0301a2a785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.0;[Red]($#,##0.0);-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1"/>
      <x:color rgb="FF2F6BFF"/>
      <x:name val="Carlito"/>
    </x:font>
    <x:font>
      <x:sz val="9"/>
      <x:color rgb="FF64748B"/>
      <x:name val="Carlito"/>
    </x:font>
    <x:font>
      <x:sz val="11"/>
      <x:color rgb="FF008000"/>
      <x:name val="Carlito"/>
    </x:font>
    <x:font>
      <x:b/>
      <x:sz val="11"/>
      <x:color rgb="FF172033"/>
      <x:name val="Carlito"/>
    </x:font>
    <x:font>
      <x:sz val="11"/>
      <x:color rgb="FF64748B"/>
      <x:name val="Carlito"/>
    </x:font>
    <x:font>
      <x:b/>
      <x:sz val="20"/>
      <x:color rgb="FF008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D8"/>
      </x:patternFill>
    </x:fill>
    <x:fill>
      <x:patternFill patternType="solid">
        <x:fgColor rgb="FFEEF2F7"/>
      </x:patternFill>
    </x:fill>
    <x:fill>
      <x:patternFill patternType="solid">
        <x:fgColor rgb="FFE7F6F2"/>
      </x:patternFill>
    </x:fill>
    <x:fill>
      <x:patternFill patternType="solid">
        <x:fgColor rgb="FFDDF4EF"/>
      </x:patternFill>
    </x:fill>
  </x:fills>
  <x:borders count="9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double">
        <x:color rgb="FF0F766E"/>
      </x:bottom>
    </x:border>
    <x:border>
      <x:left style="thin">
        <x:color rgb="FFD9E1EA"/>
      </x:left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7" fillId="6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0" fontId="7" fillId="6" borderId="1" xfId="0" applyNumberFormat="1" applyFont="1" applyFill="1" applyBorder="1" applyAlignment="1">
      <x:alignment vertical="center"/>
    </x:xf>
    <x:xf numFmtId="201" fontId="7" fillId="7" borderId="1" xfId="0" applyNumberFormat="1" applyFont="1" applyFill="1" applyBorder="1" applyAlignment="1">
      <x:alignment vertical="center"/>
    </x:xf>
    <x:xf numFmtId="20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1" fontId="5" fillId="3" borderId="1" xfId="0" applyNumberFormat="1" applyFont="1" applyFill="1" applyBorder="1" applyAlignment="1">
      <x:alignment vertical="center"/>
    </x:xf>
    <x:xf numFmtId="201" fontId="7" fillId="3" borderId="1" xfId="0" applyNumberFormat="1" applyFont="1" applyFill="1" applyBorder="1" applyAlignment="1">
      <x:alignment vertical="center"/>
    </x:xf>
    <x:xf numFmtId="200" fontId="5" fillId="3" borderId="1" xfId="0" applyNumberFormat="1" applyFont="1" applyFill="1" applyBorder="1" applyAlignment="1">
      <x:alignment vertical="center"/>
    </x:xf>
    <x:xf numFmtId="200" fontId="7" fillId="3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1" fontId="4" fillId="8" borderId="1" xfId="0" applyNumberFormat="1" applyFont="1" applyFill="1" applyBorder="1" applyAlignment="1">
      <x:alignment vertical="center"/>
    </x:xf>
    <x:xf numFmtId="200" fontId="4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 applyAlignment="1">
      <x:alignment vertical="center"/>
    </x:xf>
    <x:xf numFmtId="201" fontId="8" fillId="8" borderId="1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200" fontId="8" fillId="8" borderId="2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1" fontId="10" fillId="8" borderId="3" xfId="0" applyNumberFormat="1" applyFont="1" applyFill="1" applyBorder="1"/>
    <x:xf numFmtId="201" fontId="10" fillId="8" borderId="4" xfId="0" applyNumberFormat="1" applyFont="1" applyFill="1" applyBorder="1"/>
    <x:xf numFmtId="201" fontId="10" fillId="8" borderId="5" xfId="0" applyNumberFormat="1" applyFont="1" applyFill="1" applyBorder="1"/>
    <x:xf numFmtId="201" fontId="10" fillId="8" borderId="6" xfId="0" applyNumberFormat="1" applyFont="1" applyFill="1" applyBorder="1"/>
    <x:xf numFmtId="201" fontId="10" fillId="8" borderId="7" xfId="0" applyNumberFormat="1" applyFont="1" applyFill="1" applyBorder="1"/>
    <x:xf numFmtId="201" fontId="10" fillId="8" borderId="8" xfId="0" applyNumberFormat="1" applyFont="1" applyFill="1" applyBorder="1"/>
    <x:xf numFmtId="201" fontId="10" fillId="8" borderId="3" xfId="0" applyNumberFormat="1" applyFont="1" applyFill="1" applyBorder="1" applyAlignment="1">
      <x:alignment horizontal="center"/>
    </x:xf>
    <x:xf numFmtId="201" fontId="10" fillId="8" borderId="4" xfId="0" applyNumberFormat="1" applyFont="1" applyFill="1" applyBorder="1" applyAlignment="1">
      <x:alignment horizontal="center"/>
    </x:xf>
    <x:xf numFmtId="201" fontId="10" fillId="8" borderId="5" xfId="0" applyNumberFormat="1" applyFont="1" applyFill="1" applyBorder="1" applyAlignment="1">
      <x:alignment horizontal="center"/>
    </x:xf>
    <x:xf numFmtId="201" fontId="10" fillId="8" borderId="6" xfId="0" applyNumberFormat="1" applyFont="1" applyFill="1" applyBorder="1" applyAlignment="1">
      <x:alignment horizontal="center"/>
    </x:xf>
    <x:xf numFmtId="201" fontId="10" fillId="8" borderId="7" xfId="0" applyNumberFormat="1" applyFont="1" applyFill="1" applyBorder="1" applyAlignment="1">
      <x:alignment horizontal="center"/>
    </x:xf>
    <x:xf numFmtId="201" fontId="10" fillId="8" borderId="8" xfId="0" applyNumberFormat="1" applyFont="1" applyFill="1" applyBorder="1" applyAlignment="1">
      <x:alignment horizont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5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201" fontId="10" fillId="8" borderId="7" xfId="0" applyNumberFormat="1" applyFont="1" applyFill="1" applyBorder="1" applyAlignment="1">
      <x:alignment horizontal="center" vertical="center"/>
    </x:xf>
    <x:xf numFmtId="201" fontId="10" fillId="8" borderId="8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/>
    <x:xf numFmtId="200" fontId="10" fillId="8" borderId="4" xfId="0" applyNumberFormat="1" applyFont="1" applyFill="1" applyBorder="1"/>
    <x:xf numFmtId="200" fontId="10" fillId="8" borderId="5" xfId="0" applyNumberFormat="1" applyFont="1" applyFill="1" applyBorder="1"/>
    <x:xf numFmtId="200" fontId="10" fillId="8" borderId="6" xfId="0" applyNumberFormat="1" applyFont="1" applyFill="1" applyBorder="1"/>
    <x:xf numFmtId="200" fontId="10" fillId="8" borderId="7" xfId="0" applyNumberFormat="1" applyFont="1" applyFill="1" applyBorder="1"/>
    <x:xf numFmtId="200" fontId="10" fillId="8" borderId="8" xfId="0" applyNumberFormat="1" applyFont="1" applyFill="1" applyBorder="1"/>
    <x:xf numFmtId="200" fontId="10" fillId="8" borderId="3" xfId="0" applyNumberFormat="1" applyFont="1" applyFill="1" applyBorder="1" applyAlignment="1">
      <x:alignment horizontal="center"/>
    </x:xf>
    <x:xf numFmtId="200" fontId="10" fillId="8" borderId="4" xfId="0" applyNumberFormat="1" applyFont="1" applyFill="1" applyBorder="1" applyAlignment="1">
      <x:alignment horizontal="center"/>
    </x:xf>
    <x:xf numFmtId="200" fontId="10" fillId="8" borderId="5" xfId="0" applyNumberFormat="1" applyFont="1" applyFill="1" applyBorder="1" applyAlignment="1">
      <x:alignment horizontal="center"/>
    </x:xf>
    <x:xf numFmtId="200" fontId="10" fillId="8" borderId="6" xfId="0" applyNumberFormat="1" applyFont="1" applyFill="1" applyBorder="1" applyAlignment="1">
      <x:alignment horizontal="center"/>
    </x:xf>
    <x:xf numFmtId="200" fontId="10" fillId="8" borderId="7" xfId="0" applyNumberFormat="1" applyFont="1" applyFill="1" applyBorder="1" applyAlignment="1">
      <x:alignment horizontal="center"/>
    </x:xf>
    <x:xf numFmtId="200" fontId="10" fillId="8" borderId="8" xfId="0" applyNumberFormat="1" applyFont="1" applyFill="1" applyBorder="1" applyAlignment="1">
      <x:alignment horizont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5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0" fontId="10" fillId="8" borderId="7" xfId="0" applyNumberFormat="1" applyFont="1" applyFill="1" applyBorder="1" applyAlignment="1">
      <x:alignment horizontal="center" vertical="center"/>
    </x:xf>
    <x:xf numFmtId="200" fontId="10" fillId="8" borderId="8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e92041a1d4541" /><Relationship Type="http://schemas.openxmlformats.org/officeDocument/2006/relationships/theme" Target="/xl/theme/theme1.xml" Id="R0161ca8c12a142c6" /><Relationship Type="http://schemas.openxmlformats.org/officeDocument/2006/relationships/sharedStrings" Target="/xl/sharedStrings.xml" Id="R814786f81f774ad0" /><Relationship Type="http://schemas.openxmlformats.org/officeDocument/2006/relationships/worksheet" Target="/xl/worksheets/sheet1.xml" Id="R75ab2b0fdf06495c" /><Relationship Type="http://schemas.openxmlformats.org/officeDocument/2006/relationships/worksheet" Target="/xl/worksheets/sheet2.xml" Id="Rd131d2496a1a468b" /><Relationship Type="http://schemas.openxmlformats.org/officeDocument/2006/relationships/worksheet" Target="/xl/worksheets/sheet3.xml" Id="R896284c9f4b14969" /><Relationship Type="http://schemas.openxmlformats.org/officeDocument/2006/relationships/worksheet" Target="/xl/worksheets/sheet4.xml" Id="Rdc0301a2a78545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fd08c5d26745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'Summary'!$B$12:$B$18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cat>
            <c:strRef>
              <c:f>'Summary'!$A$12:$A$18</c:f>
              <c:strCache>
                <c:ptCount val="0"/>
              </c:strCache>
            </c:strRef>
          </c:cat>
          <c:val>
            <c:numRef>
              <c:f>'Summary'!$C$12:$C$18</c:f>
              <c:numCache>
                <c:formatCode>$#,##0.0;[Red]($#,##0.0);-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fd08c5d26745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da7b93a63346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Summary</x:v>
      </x:c>
      <x:c r="B1" s="3" t="str">
        <x:v>Northstar Software — Forecast Summary</x:v>
      </x:c>
      <x:c r="C1" s="3" t="str">
        <x:v>Northstar Software — Forecast Summary</x:v>
      </x:c>
      <x:c r="D1" s="3" t="str">
        <x:v>Northstar Software — Forecast Summary</x:v>
      </x:c>
      <x:c r="E1" s="3" t="str">
        <x:v>Northstar Software — Forecast Summary</x:v>
      </x:c>
      <x:c r="F1" s="3" t="str">
        <x:v>Northstar Software — Forecast Summary</x:v>
      </x:c>
      <x:c r="G1" s="3" t="str">
        <x:v>Northstar Software — Forecast Summary</x:v>
      </x:c>
      <x:c r="H1" s="3" t="str">
        <x:v>Northstar Software — Forecast Summary</x:v>
      </x:c>
    </x:row>
    <x:row r="2" ht="25" customHeight="1">
      <x:c r="A2" s="3" t="str">
        <x:v>Northstar Software — Forecast Summary</x:v>
      </x:c>
      <x:c r="B2" s="3" t="str">
        <x:v>Northstar Software — Forecast Summary</x:v>
      </x:c>
      <x:c r="C2" s="3" t="str">
        <x:v>Northstar Software — Forecast Summary</x:v>
      </x:c>
      <x:c r="D2" s="3" t="str">
        <x:v>Northstar Software — Forecast Summary</x:v>
      </x:c>
      <x:c r="E2" s="3" t="str">
        <x:v>Northstar Software — Forecast Summary</x:v>
      </x:c>
      <x:c r="F2" s="3" t="str">
        <x:v>Northstar Software — Forecast Summary</x:v>
      </x:c>
      <x:c r="G2" s="3" t="str">
        <x:v>Northstar Software — Forecast Summary</x:v>
      </x:c>
      <x:c r="H2" s="3" t="str">
        <x:v>Northstar Software — Forecast Summary</x:v>
      </x:c>
    </x:row>
    <x:row r="3" ht="21" customHeight="1">
      <x:c r="A3" s="6" t="str">
        <x:v>Illustrative artifact used in the Acto × Harbor × marimo integration demo</x:v>
      </x:c>
      <x:c r="B3" s="6" t="str">
        <x:v>Illustrative artifact used in the Acto × Harbor × marimo integration demo</x:v>
      </x:c>
      <x:c r="C3" s="6" t="str">
        <x:v>Illustrative artifact used in the Acto × Harbor × marimo integration demo</x:v>
      </x:c>
      <x:c r="D3" s="6" t="str">
        <x:v>Illustrative artifact used in the Acto × Harbor × marimo integration demo</x:v>
      </x:c>
      <x:c r="E3" s="6" t="str">
        <x:v>Illustrative artifact used in the Acto × Harbor × marimo integration demo</x:v>
      </x:c>
      <x:c r="F3" s="6" t="str">
        <x:v>Illustrative artifact used in the Acto × Harbor × marimo integration demo</x:v>
      </x:c>
      <x:c r="G3" s="6" t="str">
        <x:v>Illustrative artifact used in the Acto × Harbor × marimo integration demo</x:v>
      </x:c>
      <x:c r="H3" s="6" t="str">
        <x:v>Illustrative artifact used in the Acto × Harbor × marimo integration demo</x:v>
      </x:c>
    </x:row>
    <x:row r="5">
      <x:c r="A5" s="55" t="str">
        <x:v>FY27 Revenue</x:v>
      </x:c>
      <x:c r="B5" s="55" t="str">
        <x:v>FY27 Revenue</x:v>
      </x:c>
      <x:c r="D5" s="55" t="str">
        <x:v>FY27 EBITDA</x:v>
      </x:c>
      <x:c r="E5" s="55" t="str">
        <x:v>FY27 EBITDA</x:v>
      </x:c>
      <x:c r="G5" s="55" t="str">
        <x:v>EBITDA Margin</x:v>
      </x:c>
      <x:c r="H5" s="55" t="str">
        <x:v>EBITDA Margin</x:v>
      </x:c>
    </x:row>
    <x:row r="6">
      <x:c r="A6" s="76" t="n">
        <x:f>Forecast!F5</x:f>
        <x:v>199.5</x:v>
      </x:c>
      <x:c r="B6" s="77"/>
      <x:c r="D6" s="76" t="n">
        <x:f>Forecast!F16</x:f>
        <x:v>44.94500000000001</x:v>
      </x:c>
      <x:c r="E6" s="77"/>
      <x:c r="G6" s="94" t="n">
        <x:f>Forecast!F17</x:f>
        <x:v>0.22528822055137848</x:v>
      </x:c>
      <x:c r="H6" s="95"/>
    </x:row>
    <x:row r="7">
      <x:c r="A7" s="78"/>
      <x:c r="B7" s="79"/>
      <x:c r="D7" s="78"/>
      <x:c r="E7" s="79"/>
      <x:c r="G7" s="96"/>
      <x:c r="H7" s="97"/>
    </x:row>
    <x:row r="8">
      <x:c r="A8" s="80"/>
      <x:c r="B8" s="81"/>
      <x:c r="D8" s="80"/>
      <x:c r="E8" s="81"/>
      <x:c r="G8" s="98"/>
      <x:c r="H8" s="99"/>
    </x:row>
    <x:row r="11">
      <x:c r="A11" s="11" t="str">
        <x:v>Period</x:v>
      </x:c>
      <x:c r="B11" s="11" t="str">
        <x:v>Revenue</x:v>
      </x:c>
      <x:c r="C11" s="11" t="str">
        <x:v>EBITDA</x:v>
      </x:c>
    </x:row>
    <x:row r="12">
      <x:c r="A12" s="14" t="str">
        <x:v>FY23A</x:v>
      </x:c>
      <x:c r="B12" s="16" t="n">
        <x:v>150</x:v>
      </x:c>
      <x:c r="C12" s="16" t="n">
        <x:v>30.5</x:v>
      </x:c>
    </x:row>
    <x:row r="13">
      <x:c r="A13" s="14" t="str">
        <x:v>FY24A</x:v>
      </x:c>
      <x:c r="B13" s="16" t="n">
        <x:v>165</x:v>
      </x:c>
      <x:c r="C13" s="16" t="n">
        <x:v>37</x:v>
      </x:c>
    </x:row>
    <x:row r="14">
      <x:c r="A14" s="14" t="str">
        <x:v>FY25A</x:v>
      </x:c>
      <x:c r="B14" s="16" t="n">
        <x:v>180</x:v>
      </x:c>
      <x:c r="C14" s="16" t="n">
        <x:v>42.8</x:v>
      </x:c>
    </x:row>
    <x:row r="15">
      <x:c r="A15" s="14" t="str">
        <x:v>FY26E</x:v>
      </x:c>
      <x:c r="B15" s="16" t="n">
        <x:v>190</x:v>
      </x:c>
      <x:c r="C15" s="16" t="n">
        <x:v>44.85</x:v>
      </x:c>
    </x:row>
    <x:row r="16">
      <x:c r="A16" s="14" t="str">
        <x:v>FY27E</x:v>
      </x:c>
      <x:c r="B16" s="16" t="n">
        <x:v>199.5</x:v>
      </x:c>
      <x:c r="C16" s="16" t="n">
        <x:v>44.945</x:v>
      </x:c>
    </x:row>
    <x:row r="17">
      <x:c r="A17" s="14" t="str">
        <x:v>FY28E</x:v>
      </x:c>
      <x:c r="B17" s="16" t="n">
        <x:v>215.46</x:v>
      </x:c>
      <x:c r="C17" s="16" t="n">
        <x:v>52.63</x:v>
      </x:c>
    </x:row>
    <x:row r="18">
      <x:c r="A18" s="14" t="str">
        <x:v>FY29E</x:v>
      </x:c>
      <x:c r="B18" s="16" t="n">
        <x:v>232.697</x:v>
      </x:c>
      <x:c r="C18" s="16" t="n">
        <x:v>59.129</x:v>
      </x:c>
    </x:row>
    <x:row r="21">
      <x:c r="A21" s="23" t="str">
        <x:v>Demo note</x:v>
      </x:c>
      <x:c r="B21" s="23"/>
      <x:c r="C21" s="23"/>
      <x:c r="D21" s="23"/>
      <x:c r="E21" s="23"/>
      <x:c r="F21" s="23"/>
      <x:c r="G21" s="23"/>
      <x:c r="H21" s="23"/>
    </x:row>
    <x:row r="22">
      <x:c r="A22" s="54" t="str">
        <x:v>This is a synthetic workbook used to make Harbor's artifact handoff visible. The case study is about the integration pattern, not the finance example.</x:v>
      </x:c>
      <x:c r="B22" s="54"/>
      <x:c r="C22" s="54"/>
      <x:c r="D22" s="54"/>
      <x:c r="E22" s="54"/>
      <x:c r="F22" s="54"/>
      <x:c r="G22" s="54"/>
      <x:c r="H22" s="54"/>
    </x:row>
    <x:row r="23">
      <x:c r="A23" s="54" t="str">
        <x:v>Open the Forecast sheet to inspect the underlying formulas and assumptions.</x:v>
      </x:c>
      <x:c r="B23" s="54"/>
      <x:c r="C23" s="54"/>
      <x:c r="D23" s="54"/>
      <x:c r="E23" s="54"/>
      <x:c r="F23" s="54"/>
      <x:c r="G23" s="54"/>
      <x:c r="H23" s="54"/>
    </x:row>
  </x:sheetData>
  <x:mergeCells>
    <x:mergeCell ref="A1:H2"/>
    <x:mergeCell ref="A3:H3"/>
    <x:mergeCell ref="A5:B5"/>
    <x:mergeCell ref="D5:E5"/>
    <x:mergeCell ref="G5:H5"/>
    <x:mergeCell ref="A6:B8"/>
    <x:mergeCell ref="D6:E8"/>
    <x:mergeCell ref="G6:H8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39da7b93a63346e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Forecast Assumptions</x:v>
      </x:c>
      <x:c r="B1" s="3" t="str">
        <x:v>Northstar Software — Forecast Assumptions</x:v>
      </x:c>
      <x:c r="C1" s="3" t="str">
        <x:v>Northstar Software — Forecast Assumptions</x:v>
      </x:c>
      <x:c r="D1" s="3" t="str">
        <x:v>Northstar Software — Forecast Assumptions</x:v>
      </x:c>
      <x:c r="E1" s="3" t="str">
        <x:v>Northstar Software — Forecast Assumptions</x:v>
      </x:c>
      <x:c r="F1" s="3" t="str">
        <x:v>Northstar Software — Forecast Assumptions</x:v>
      </x:c>
      <x:c r="G1" s="3" t="str">
        <x:v>Northstar Software — Forecast Assumptions</x:v>
      </x:c>
      <x:c r="H1" s="3" t="str">
        <x:v>Northstar Software — Forecast Assumptions</x:v>
      </x:c>
    </x:row>
    <x:row r="2" ht="25" customHeight="1">
      <x:c r="A2" s="3" t="str">
        <x:v>Northstar Software — Forecast Assumptions</x:v>
      </x:c>
      <x:c r="B2" s="3" t="str">
        <x:v>Northstar Software — Forecast Assumptions</x:v>
      </x:c>
      <x:c r="C2" s="3" t="str">
        <x:v>Northstar Software — Forecast Assumptions</x:v>
      </x:c>
      <x:c r="D2" s="3" t="str">
        <x:v>Northstar Software — Forecast Assumptions</x:v>
      </x:c>
      <x:c r="E2" s="3" t="str">
        <x:v>Northstar Software — Forecast Assumptions</x:v>
      </x:c>
      <x:c r="F2" s="3" t="str">
        <x:v>Northstar Software — Forecast Assumptions</x:v>
      </x:c>
      <x:c r="G2" s="3" t="str">
        <x:v>Northstar Software — Forecast Assumptions</x:v>
      </x:c>
      <x:c r="H2" s="3" t="str">
        <x:v>Northstar Software — Forecast Assumptions</x:v>
      </x:c>
    </x:row>
    <x:row r="3" ht="21" customHeight="1">
      <x:c r="A3" s="6" t="str">
        <x:v>Illustrative data • $ millions • FY23–FY29</x:v>
      </x:c>
      <x:c r="B3" s="6" t="str">
        <x:v>Illustrative data • $ millions • FY23–FY29</x:v>
      </x:c>
      <x:c r="C3" s="6" t="str">
        <x:v>Illustrative data • $ millions • FY23–FY29</x:v>
      </x:c>
      <x:c r="D3" s="6" t="str">
        <x:v>Illustrative data • $ millions • FY23–FY29</x:v>
      </x:c>
      <x:c r="E3" s="6" t="str">
        <x:v>Illustrative data • $ millions • FY23–FY29</x:v>
      </x:c>
      <x:c r="F3" s="6" t="str">
        <x:v>Illustrative data • $ millions • FY23–FY29</x:v>
      </x:c>
      <x:c r="G3" s="6" t="str">
        <x:v>Illustrative data • $ millions • FY23–FY29</x:v>
      </x:c>
      <x:c r="H3" s="6" t="str">
        <x:v>Illustrative data • $ millions • FY23–FY29</x:v>
      </x:c>
    </x:row>
    <x:row r="5">
      <x:c r="A5" s="11" t="str">
        <x:v>Driver</x:v>
      </x:c>
      <x:c r="B5" s="11" t="str">
        <x:v>FY23A</x:v>
      </x:c>
      <x:c r="C5" s="11" t="str">
        <x:v>FY24A</x:v>
      </x:c>
      <x:c r="D5" s="11" t="str">
        <x:v>FY25A</x:v>
      </x:c>
      <x:c r="E5" s="11" t="str">
        <x:v>FY26E</x:v>
      </x:c>
      <x:c r="F5" s="11" t="str">
        <x:v>FY27E</x:v>
      </x:c>
      <x:c r="G5" s="11" t="str">
        <x:v>FY28E</x:v>
      </x:c>
      <x:c r="H5" s="11" t="str">
        <x:v>FY29E</x:v>
      </x:c>
    </x:row>
    <x:row r="6">
      <x:c r="A6" s="14" t="str">
        <x:v>Revenue growth</x:v>
      </x:c>
      <x:c r="B6" s="17"/>
      <x:c r="C6" s="17" t="n">
        <x:v>0.1</x:v>
      </x:c>
      <x:c r="D6" s="17" t="n">
        <x:v>0.09090909090909083</x:v>
      </x:c>
      <x:c r="E6" s="17" t="n">
        <x:v>0.05555555555555558</x:v>
      </x:c>
      <x:c r="F6" s="20" t="n">
        <x:v>0.05</x:v>
      </x:c>
      <x:c r="G6" s="17" t="n">
        <x:v>0.08</x:v>
      </x:c>
      <x:c r="H6" s="17" t="n">
        <x:v>0.08</x:v>
      </x:c>
    </x:row>
    <x:row r="7">
      <x:c r="A7" s="14" t="str">
        <x:v>Gross margin</x:v>
      </x:c>
      <x:c r="B7" s="17" t="n">
        <x:v>0.49</x:v>
      </x:c>
      <x:c r="C7" s="17" t="n">
        <x:v>0.5</x:v>
      </x:c>
      <x:c r="D7" s="17" t="n">
        <x:v>0.51</x:v>
      </x:c>
      <x:c r="E7" s="17" t="n">
        <x:v>0.515</x:v>
      </x:c>
      <x:c r="F7" s="20" t="n">
        <x:v>0.51</x:v>
      </x:c>
      <x:c r="G7" s="17" t="n">
        <x:v>0.525</x:v>
      </x:c>
      <x:c r="H7" s="17" t="n">
        <x:v>0.53</x:v>
      </x:c>
    </x:row>
    <x:row r="8">
      <x:c r="A8" s="14" t="str"/>
      <x:c r="B8" s="18"/>
      <x:c r="C8" s="18"/>
      <x:c r="D8" s="18"/>
      <x:c r="E8" s="18"/>
      <x:c r="F8" s="18"/>
      <x:c r="G8" s="18"/>
      <x:c r="H8" s="18"/>
    </x:row>
    <x:row r="9">
      <x:c r="A9" s="14" t="str">
        <x:v>R&amp;D expense</x:v>
      </x:c>
      <x:c r="B9" s="19" t="n">
        <x:v>14</x:v>
      </x:c>
      <x:c r="C9" s="19" t="n">
        <x:v>15</x:v>
      </x:c>
      <x:c r="D9" s="19" t="n">
        <x:v>16</x:v>
      </x:c>
      <x:c r="E9" s="19" t="n">
        <x:v>17</x:v>
      </x:c>
      <x:c r="F9" s="19" t="n">
        <x:v>18</x:v>
      </x:c>
      <x:c r="G9" s="19" t="n">
        <x:v>19</x:v>
      </x:c>
      <x:c r="H9" s="19" t="n">
        <x:v>20</x:v>
      </x:c>
    </x:row>
    <x:row r="10">
      <x:c r="A10" s="14" t="str">
        <x:v>Sales &amp; marketing</x:v>
      </x:c>
      <x:c r="B10" s="19" t="n">
        <x:v>18</x:v>
      </x:c>
      <x:c r="C10" s="19" t="n">
        <x:v>19</x:v>
      </x:c>
      <x:c r="D10" s="19" t="n">
        <x:v>21</x:v>
      </x:c>
      <x:c r="E10" s="19" t="n">
        <x:v>23</x:v>
      </x:c>
      <x:c r="F10" s="19" t="n">
        <x:v>25</x:v>
      </x:c>
      <x:c r="G10" s="19" t="n">
        <x:v>27</x:v>
      </x:c>
      <x:c r="H10" s="19" t="n">
        <x:v>29</x:v>
      </x:c>
    </x:row>
    <x:row r="11">
      <x:c r="A11" s="14" t="str">
        <x:v>G&amp;A expense</x:v>
      </x:c>
      <x:c r="B11" s="19" t="n">
        <x:v>11</x:v>
      </x:c>
      <x:c r="C11" s="19" t="n">
        <x:v>11.5</x:v>
      </x:c>
      <x:c r="D11" s="19" t="n">
        <x:v>12</x:v>
      </x:c>
      <x:c r="E11" s="19" t="n">
        <x:v>13</x:v>
      </x:c>
      <x:c r="F11" s="19" t="n">
        <x:v>13.8</x:v>
      </x:c>
      <x:c r="G11" s="19" t="n">
        <x:v>14.5</x:v>
      </x:c>
      <x:c r="H11" s="19" t="n">
        <x:v>15.2</x:v>
      </x:c>
    </x:row>
    <x:row r="13">
      <x:c r="A13" s="22" t="str">
        <x:v>Blue font = editable assumptions. Yellow cells are the FY27 assumptions referenced in the task.</x:v>
      </x:c>
      <x:c r="B13" s="22"/>
      <x:c r="C13" s="22"/>
      <x:c r="D13" s="22"/>
      <x:c r="E13" s="22"/>
      <x:c r="F13" s="22"/>
      <x:c r="G13" s="22"/>
      <x:c r="H13" s="22"/>
    </x:row>
    <x:row r="14">
      <x:c r="A14" s="22" t="str">
        <x:v>Source: synthetic case-study data created for this integration demo.</x:v>
      </x:c>
      <x:c r="B14" s="22"/>
      <x:c r="C14" s="22"/>
      <x:c r="D14" s="22"/>
      <x:c r="E14" s="22"/>
      <x:c r="F14" s="22"/>
      <x:c r="G14" s="22"/>
      <x:c r="H14" s="22"/>
    </x:row>
    <x:row r="15">
      <x:c r="A15" s="22" t="str">
        <x:v>The example is illustrative and does not represent a real company or investment view.</x:v>
      </x:c>
      <x:c r="B15" s="22"/>
      <x:c r="C15" s="22"/>
      <x:c r="D15" s="22"/>
      <x:c r="E15" s="22"/>
      <x:c r="F15" s="22"/>
      <x:c r="G15" s="22"/>
      <x:c r="H15" s="22"/>
    </x:row>
  </x:sheetData>
  <x:mergeCells>
    <x:mergeCell ref="A1:H2"/>
    <x:mergeCell ref="A3:H3"/>
    <x:mergeCell ref="A13:H13"/>
    <x:mergeCell ref="A14:H14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Northstar Software — Operating Forecast</x:v>
      </x:c>
      <x:c r="B1" s="3" t="str">
        <x:v>Northstar Software — Operating Forecast</x:v>
      </x:c>
      <x:c r="C1" s="3" t="str">
        <x:v>Northstar Software — Operating Forecast</x:v>
      </x:c>
      <x:c r="D1" s="3" t="str">
        <x:v>Northstar Software — Operating Forecast</x:v>
      </x:c>
      <x:c r="E1" s="3" t="str">
        <x:v>Northstar Software — Operating Forecast</x:v>
      </x:c>
      <x:c r="F1" s="3" t="str">
        <x:v>Northstar Software — Operating Forecast</x:v>
      </x:c>
      <x:c r="G1" s="3" t="str">
        <x:v>Northstar Software — Operating Forecast</x:v>
      </x:c>
      <x:c r="H1" s="3" t="str">
        <x:v>Northstar Software — Operating Forecast</x:v>
      </x:c>
    </x:row>
    <x:row r="2" ht="25" customHeight="1">
      <x:c r="A2" s="3" t="str">
        <x:v>Northstar Software — Operating Forecast</x:v>
      </x:c>
      <x:c r="B2" s="3" t="str">
        <x:v>Northstar Software — Operating Forecast</x:v>
      </x:c>
      <x:c r="C2" s="3" t="str">
        <x:v>Northstar Software — Operating Forecast</x:v>
      </x:c>
      <x:c r="D2" s="3" t="str">
        <x:v>Northstar Software — Operating Forecast</x:v>
      </x:c>
      <x:c r="E2" s="3" t="str">
        <x:v>Northstar Software — Operating Forecast</x:v>
      </x:c>
      <x:c r="F2" s="3" t="str">
        <x:v>Northstar Software — Operating Forecast</x:v>
      </x:c>
      <x:c r="G2" s="3" t="str">
        <x:v>Northstar Software — Operating Forecast</x:v>
      </x:c>
      <x:c r="H2" s="3" t="str">
        <x:v>Northstar Software — Operating Forecast</x:v>
      </x:c>
    </x:row>
    <x:row r="3" ht="21" customHeight="1">
      <x:c r="A3" s="6" t="str">
        <x:v>Illustrative data • $ millions • Green links reference the Assumptions sheet</x:v>
      </x:c>
      <x:c r="B3" s="6" t="str">
        <x:v>Illustrative data • $ millions • Green links reference the Assumptions sheet</x:v>
      </x:c>
      <x:c r="C3" s="6" t="str">
        <x:v>Illustrative data • $ millions • Green links reference the Assumptions sheet</x:v>
      </x:c>
      <x:c r="D3" s="6" t="str">
        <x:v>Illustrative data • $ millions • Green links reference the Assumptions sheet</x:v>
      </x:c>
      <x:c r="E3" s="6" t="str">
        <x:v>Illustrative data • $ millions • Green links reference the Assumptions sheet</x:v>
      </x:c>
      <x:c r="F3" s="6" t="str">
        <x:v>Illustrative data • $ millions • Green links reference the Assumptions sheet</x:v>
      </x:c>
      <x:c r="G3" s="6" t="str">
        <x:v>Illustrative data • $ millions • Green links reference the Assumptions sheet</x:v>
      </x:c>
      <x:c r="H3" s="6" t="str">
        <x:v>Illustrative data • $ millions • Green links reference the Assumptions sheet</x:v>
      </x:c>
    </x:row>
    <x:row r="4">
      <x:c r="A4" s="26" t="str">
        <x:v>Metric</x:v>
      </x:c>
      <x:c r="B4" s="26" t="str">
        <x:v>FY23A</x:v>
      </x:c>
      <x:c r="C4" s="26" t="str">
        <x:v>FY24A</x:v>
      </x:c>
      <x:c r="D4" s="26" t="str">
        <x:v>FY25A</x:v>
      </x:c>
      <x:c r="E4" s="11" t="str">
        <x:v>FY26E</x:v>
      </x:c>
      <x:c r="F4" s="11" t="str">
        <x:v>FY27E</x:v>
      </x:c>
      <x:c r="G4" s="11" t="str">
        <x:v>FY28E</x:v>
      </x:c>
      <x:c r="H4" s="11" t="str">
        <x:v>FY29E</x:v>
      </x:c>
    </x:row>
    <x:row r="5">
      <x:c r="A5" s="30" t="str">
        <x:v>Revenue</x:v>
      </x:c>
      <x:c r="B5" s="31" t="n">
        <x:v>150</x:v>
      </x:c>
      <x:c r="C5" s="31" t="n">
        <x:v>165</x:v>
      </x:c>
      <x:c r="D5" s="31" t="n">
        <x:v>180</x:v>
      </x:c>
      <x:c r="E5" s="35" t="n">
        <x:f>D5*(1+Assumptions!E6)</x:f>
        <x:v>190</x:v>
      </x:c>
      <x:c r="F5" s="35" t="n">
        <x:f>E5*(1+Assumptions!F6)</x:f>
        <x:v>199.5</x:v>
      </x:c>
      <x:c r="G5" s="35" t="n">
        <x:f>F5*(1+Assumptions!G6)</x:f>
        <x:v>215.46</x:v>
      </x:c>
      <x:c r="H5" s="35" t="n">
        <x:f>G5*(1+Assumptions!H6)</x:f>
        <x:v>232.69680000000002</x:v>
      </x:c>
    </x:row>
    <x:row r="6">
      <x:c r="A6" s="30" t="str">
        <x:v>Growth</x:v>
      </x:c>
      <x:c r="B6" s="33"/>
      <x:c r="C6" s="33" t="n">
        <x:v>0.1</x:v>
      </x:c>
      <x:c r="D6" s="33" t="n">
        <x:v>0.09090909090909083</x:v>
      </x:c>
      <x:c r="E6" s="36" t="n">
        <x:f>E5/D5-1</x:f>
        <x:v>0.05555555555555558</x:v>
      </x:c>
      <x:c r="F6" s="36" t="n">
        <x:f>F5/E5-1</x:f>
        <x:v>0.050000000000000044</x:v>
      </x:c>
      <x:c r="G6" s="36" t="n">
        <x:f>G5/F5-1</x:f>
        <x:v>0.08000000000000007</x:v>
      </x:c>
      <x:c r="H6" s="36" t="n">
        <x:f>H5/G5-1</x:f>
        <x:v>0.08000000000000007</x:v>
      </x:c>
    </x:row>
    <x:row r="7">
      <x:c r="A7" s="14" t="str"/>
      <x:c r="B7" s="18"/>
      <x:c r="C7" s="18"/>
      <x:c r="D7" s="18"/>
      <x:c r="E7" s="37"/>
      <x:c r="F7" s="37"/>
      <x:c r="G7" s="37"/>
      <x:c r="H7" s="37"/>
    </x:row>
    <x:row r="8">
      <x:c r="A8" s="40" t="str">
        <x:v>Gross profit</x:v>
      </x:c>
      <x:c r="B8" s="41" t="n">
        <x:v>73.5</x:v>
      </x:c>
      <x:c r="C8" s="41" t="n">
        <x:v>82.5</x:v>
      </x:c>
      <x:c r="D8" s="41" t="n">
        <x:v>91.8</x:v>
      </x:c>
      <x:c r="E8" s="42" t="n">
        <x:f>E5*Assumptions!E7</x:f>
        <x:v>97.85000000000001</x:v>
      </x:c>
      <x:c r="F8" s="42" t="n">
        <x:f>F5*Assumptions!F7</x:f>
        <x:v>101.745</x:v>
      </x:c>
      <x:c r="G8" s="42" t="n">
        <x:f>G5*Assumptions!G7</x:f>
        <x:v>113.1165</x:v>
      </x:c>
      <x:c r="H8" s="42" t="n">
        <x:f>H5*Assumptions!H7</x:f>
        <x:v>123.32930400000002</x:v>
      </x:c>
    </x:row>
    <x:row r="9">
      <x:c r="A9" s="40" t="str">
        <x:v>Gross margin</x:v>
      </x:c>
      <x:c r="B9" s="43" t="n">
        <x:v>0.49</x:v>
      </x:c>
      <x:c r="C9" s="43" t="n">
        <x:v>0.5</x:v>
      </x:c>
      <x:c r="D9" s="43" t="n">
        <x:v>0.51</x:v>
      </x:c>
      <x:c r="E9" s="44" t="n">
        <x:f>E8/E5</x:f>
        <x:v>0.515</x:v>
      </x:c>
      <x:c r="F9" s="44" t="n">
        <x:f>F8/F5</x:f>
        <x:v>0.51</x:v>
      </x:c>
      <x:c r="G9" s="44" t="n">
        <x:f>G8/G5</x:f>
        <x:v>0.525</x:v>
      </x:c>
      <x:c r="H9" s="44" t="n">
        <x:f>H8/H5</x:f>
        <x:v>0.53</x:v>
      </x:c>
    </x:row>
    <x:row r="10">
      <x:c r="A10" s="14" t="str"/>
      <x:c r="B10" s="18"/>
      <x:c r="C10" s="18"/>
      <x:c r="D10" s="18"/>
      <x:c r="E10" s="37"/>
      <x:c r="F10" s="37"/>
      <x:c r="G10" s="37"/>
      <x:c r="H10" s="37"/>
    </x:row>
    <x:row r="11">
      <x:c r="A11" s="14" t="str">
        <x:v>Operating expenses</x:v>
      </x:c>
      <x:c r="B11" s="18"/>
      <x:c r="C11" s="18"/>
      <x:c r="D11" s="18"/>
      <x:c r="E11" s="37"/>
      <x:c r="F11" s="37"/>
      <x:c r="G11" s="37"/>
      <x:c r="H11" s="37"/>
    </x:row>
    <x:row r="12">
      <x:c r="A12" s="14" t="str">
        <x:v>R&amp;D</x:v>
      </x:c>
      <x:c r="B12" s="19" t="n">
        <x:v>14</x:v>
      </x:c>
      <x:c r="C12" s="19" t="n">
        <x:v>15</x:v>
      </x:c>
      <x:c r="D12" s="19" t="n">
        <x:v>16</x:v>
      </x:c>
      <x:c r="E12" s="35" t="n">
        <x:f>Assumptions!E9</x:f>
        <x:v>17</x:v>
      </x:c>
      <x:c r="F12" s="35" t="n">
        <x:f>Assumptions!F9</x:f>
        <x:v>18</x:v>
      </x:c>
      <x:c r="G12" s="35" t="n">
        <x:f>Assumptions!G9</x:f>
        <x:v>19</x:v>
      </x:c>
      <x:c r="H12" s="35" t="n">
        <x:f>Assumptions!H9</x:f>
        <x:v>20</x:v>
      </x:c>
    </x:row>
    <x:row r="13">
      <x:c r="A13" s="14" t="str">
        <x:v>Sales &amp; marketing</x:v>
      </x:c>
      <x:c r="B13" s="19" t="n">
        <x:v>18</x:v>
      </x:c>
      <x:c r="C13" s="19" t="n">
        <x:v>19</x:v>
      </x:c>
      <x:c r="D13" s="19" t="n">
        <x:v>21</x:v>
      </x:c>
      <x:c r="E13" s="35" t="n">
        <x:f>Assumptions!E10</x:f>
        <x:v>23</x:v>
      </x:c>
      <x:c r="F13" s="35" t="n">
        <x:f>Assumptions!F10</x:f>
        <x:v>25</x:v>
      </x:c>
      <x:c r="G13" s="35" t="n">
        <x:f>Assumptions!G10</x:f>
        <x:v>27</x:v>
      </x:c>
      <x:c r="H13" s="35" t="n">
        <x:f>Assumptions!H10</x:f>
        <x:v>29</x:v>
      </x:c>
    </x:row>
    <x:row r="14">
      <x:c r="A14" s="14" t="str">
        <x:v>G&amp;A</x:v>
      </x:c>
      <x:c r="B14" s="19" t="n">
        <x:v>11</x:v>
      </x:c>
      <x:c r="C14" s="19" t="n">
        <x:v>11.5</x:v>
      </x:c>
      <x:c r="D14" s="19" t="n">
        <x:v>12</x:v>
      </x:c>
      <x:c r="E14" s="35" t="n">
        <x:f>Assumptions!E11</x:f>
        <x:v>13</x:v>
      </x:c>
      <x:c r="F14" s="35" t="n">
        <x:f>Assumptions!F11</x:f>
        <x:v>13.8</x:v>
      </x:c>
      <x:c r="G14" s="35" t="n">
        <x:f>Assumptions!G11</x:f>
        <x:v>14.5</x:v>
      </x:c>
      <x:c r="H14" s="35" t="n">
        <x:f>Assumptions!H11</x:f>
        <x:v>15.2</x:v>
      </x:c>
    </x:row>
    <x:row r="15">
      <x:c r="A15" s="14" t="str"/>
      <x:c r="B15" s="16"/>
      <x:c r="C15" s="16"/>
      <x:c r="D15" s="16"/>
      <x:c r="E15" s="38"/>
      <x:c r="F15" s="38"/>
      <x:c r="G15" s="38"/>
      <x:c r="H15" s="38"/>
    </x:row>
    <x:row r="16">
      <x:c r="A16" s="48" t="str">
        <x:v>EBITDA</x:v>
      </x:c>
      <x:c r="B16" s="49" t="n">
        <x:f>B8-SUM(B12:B14)</x:f>
        <x:v>30.5</x:v>
      </x:c>
      <x:c r="C16" s="49" t="n">
        <x:f>C8-SUM(C12:C14)</x:f>
        <x:v>37</x:v>
      </x:c>
      <x:c r="D16" s="49" t="n">
        <x:f>D8-SUM(D12:D14)</x:f>
        <x:v>42.8</x:v>
      </x:c>
      <x:c r="E16" s="49" t="n">
        <x:f>E8-SUM(E12:E14)</x:f>
        <x:v>44.85000000000001</x:v>
      </x:c>
      <x:c r="F16" s="49" t="n">
        <x:f>F8-SUM(F12:F14)</x:f>
        <x:v>44.94500000000001</x:v>
      </x:c>
      <x:c r="G16" s="49" t="n">
        <x:f>G8-SUM(G12:G14)</x:f>
        <x:v>52.6165</x:v>
      </x:c>
      <x:c r="H16" s="49" t="n">
        <x:f>H8-SUM(H12:H14)</x:f>
        <x:v>59.12930400000002</x:v>
      </x:c>
    </x:row>
    <x:row r="17">
      <x:c r="A17" s="51" t="str">
        <x:v>EBITDA margin</x:v>
      </x:c>
      <x:c r="B17" s="52" t="n">
        <x:f>B16/B5</x:f>
        <x:v>0.20333333333333334</x:v>
      </x:c>
      <x:c r="C17" s="52" t="n">
        <x:f>C16/C5</x:f>
        <x:v>0.22424242424242424</x:v>
      </x:c>
      <x:c r="D17" s="52" t="n">
        <x:f>D16/D5</x:f>
        <x:v>0.23777777777777775</x:v>
      </x:c>
      <x:c r="E17" s="52" t="n">
        <x:f>E16/E5</x:f>
        <x:v>0.2360526315789474</x:v>
      </x:c>
      <x:c r="F17" s="52" t="n">
        <x:f>F16/F5</x:f>
        <x:v>0.22528822055137848</x:v>
      </x:c>
      <x:c r="G17" s="52" t="n">
        <x:f>G16/G5</x:f>
        <x:v>0.24420542095980693</x:v>
      </x:c>
      <x:c r="H17" s="52" t="n">
        <x:f>H16/H5</x:f>
        <x:v>0.25410449993296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  <x:c r="H1" s="3" t="str">
        <x:v>Model Checks</x:v>
      </x:c>
    </x:row>
    <x:row r="2" ht="25" customHeight="1">
      <x:c r="A2" s="3" t="str">
        <x:v>Model Checks</x:v>
      </x:c>
      <x:c r="B2" s="3" t="str">
        <x:v>Model Checks</x:v>
      </x:c>
      <x:c r="C2" s="3" t="str">
        <x:v>Model Checks</x:v>
      </x:c>
      <x:c r="D2" s="3" t="str">
        <x:v>Model Checks</x:v>
      </x:c>
      <x:c r="E2" s="3" t="str">
        <x:v>Model Checks</x:v>
      </x:c>
      <x:c r="F2" s="3" t="str">
        <x:v>Model Checks</x:v>
      </x:c>
      <x:c r="G2" s="3" t="str">
        <x:v>Model Checks</x:v>
      </x:c>
      <x:c r="H2" s="3" t="str">
        <x:v>Model Checks</x:v>
      </x:c>
    </x:row>
    <x:row r="3" ht="21" customHeight="1">
      <x:c r="A3" s="6" t="str">
        <x:v>The baseline verifier checks output values; it does not assess every structural property.</x:v>
      </x:c>
      <x:c r="B3" s="6" t="str">
        <x:v>The baseline verifier checks output values; it does not assess every structural property.</x:v>
      </x:c>
      <x:c r="C3" s="6" t="str">
        <x:v>The baseline verifier checks output values; it does not assess every structural property.</x:v>
      </x:c>
      <x:c r="D3" s="6" t="str">
        <x:v>The baseline verifier checks output values; it does not assess every structural property.</x:v>
      </x:c>
      <x:c r="E3" s="6" t="str">
        <x:v>The baseline verifier checks output values; it does not assess every structural property.</x:v>
      </x:c>
      <x:c r="F3" s="6" t="str">
        <x:v>The baseline verifier checks output values; it does not assess every structural property.</x:v>
      </x:c>
      <x:c r="G3" s="6" t="str">
        <x:v>The baseline verifier checks output values; it does not assess every structural property.</x:v>
      </x:c>
      <x:c r="H3" s="6" t="str">
        <x:v>The baseline verifier checks output values; it does not assess every structural property.</x:v>
      </x:c>
    </x:row>
    <x:row r="5">
      <x:c r="A5" s="11" t="str">
        <x:v>Check</x:v>
      </x:c>
      <x:c r="B5" s="11" t="str">
        <x:v>Actual</x:v>
      </x:c>
      <x:c r="C5" s="11" t="str">
        <x:v>Expected</x:v>
      </x:c>
      <x:c r="D5" s="11" t="str">
        <x:v>Status</x:v>
      </x:c>
    </x:row>
    <x:row r="6">
      <x:c r="A6" s="14" t="str">
        <x:v>FY27 EBITDA</x:v>
      </x:c>
      <x:c r="B6" s="27" t="n">
        <x:f>Forecast!F16</x:f>
        <x:v>44.94500000000001</x:v>
      </x:c>
      <x:c r="C6" s="19" t="n">
        <x:v>47.2</x:v>
      </x:c>
      <x:c r="D6" s="14" t="str">
        <x:f>IF(ABS(B6-C6)&lt;0.01,"PASS","FAIL")</x:f>
        <x:v>FAIL</x:v>
      </x:c>
    </x:row>
    <x:row r="7">
      <x:c r="A7" s="14" t="str">
        <x:v>FY27 revenue</x:v>
      </x:c>
      <x:c r="B7" s="27" t="n">
        <x:f>Forecast!F5</x:f>
        <x:v>199.5</x:v>
      </x:c>
      <x:c r="C7" s="19" t="n">
        <x:v>200</x:v>
      </x:c>
      <x:c r="D7" s="14" t="str">
        <x:f>IF(ABS(B7-C7)&lt;0.01,"PASS","FAIL")</x:f>
        <x:v>FAIL</x:v>
      </x:c>
    </x:row>
    <x:row r="8">
      <x:c r="A8" s="14" t="str">
        <x:v>Workbook calculation</x:v>
      </x:c>
      <x:c r="B8" s="29" t="n">
        <x:f>COUNT(Forecast!B5:H17)</x:f>
        <x:v>62</x:v>
      </x:c>
      <x:c r="C8" s="18" t="n">
        <x:v>1</x:v>
      </x:c>
      <x:c r="D8" s="14" t="str">
        <x:f>IF(B8&gt;0,"PASS","FAIL")</x:f>
        <x:v>PASS</x:v>
      </x:c>
    </x:row>
    <x:row r="10">
      <x:c r="A10" s="23" t="str">
        <x:v>Why this matters</x:v>
      </x:c>
      <x:c r="B10" s="23"/>
      <x:c r="C10" s="23"/>
      <x:c r="D10" s="23"/>
      <x:c r="E10" s="23"/>
      <x:c r="F10" s="23"/>
      <x:c r="G10" s="23"/>
      <x:c r="H10" s="23"/>
    </x:row>
    <x:row r="11">
      <x:c r="A11" s="54" t="str">
        <x:v>A task-specific marimo view can place the verifier outcome beside the artifact and the recorded trajectory.</x:v>
      </x:c>
      <x:c r="B11" s="54"/>
      <x:c r="C11" s="54"/>
      <x:c r="D11" s="54"/>
      <x:c r="E11" s="54"/>
      <x:c r="F11" s="54"/>
      <x:c r="G11" s="54"/>
      <x:c r="H11" s="54"/>
    </x:row>
    <x:row r="12">
      <x:c r="A12" s="54" t="str">
        <x:v>This workbook is only one example of the broader Harbor → marimo integration pattern.</x:v>
      </x:c>
      <x:c r="B12" s="54"/>
      <x:c r="C12" s="54"/>
      <x:c r="D12" s="54"/>
      <x:c r="E12" s="54"/>
      <x:c r="F12" s="54"/>
      <x:c r="G12" s="54"/>
      <x:c r="H12" s="54"/>
    </x:row>
  </x:sheetData>
  <x:mergeCells>
    <x:mergeCell ref="A1:H2"/>
    <x:mergeCell ref="A3:H3"/>
    <x:mergeCell ref="A10:H10"/>
    <x:mergeCell ref="A11:H11"/>
    <x:mergeCell ref="A12:H12"/>
  </x:mergeCells>
  <x:pageMargins left="0.7" right="0.7" top="0.75" bottom="0.75" header="0.3" footer="0.3"/>
</x:worksheet>
</file>